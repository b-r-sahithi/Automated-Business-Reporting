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rsah\OneDrive\Desktop\Projects\BI_Mini_Project\"/>
    </mc:Choice>
  </mc:AlternateContent>
  <xr:revisionPtr revIDLastSave="0" documentId="13_ncr:1_{4DEAE4E8-2578-4959-B3DA-787280AB5B65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Sheet2" sheetId="6" r:id="rId1"/>
    <sheet name="Sheet3" sheetId="7" r:id="rId2"/>
    <sheet name="Clean_Data" sheetId="1" r:id="rId3"/>
    <sheet name="Dashboard" sheetId="5" r:id="rId4"/>
    <sheet name="KPI_Summary" sheetId="2" r:id="rId5"/>
    <sheet name="Monthly_Revenue" sheetId="3" r:id="rId6"/>
    <sheet name="Category_Revenue" sheetId="4" r:id="rId7"/>
  </sheet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C2" i="5"/>
  <c r="A2" i="5"/>
</calcChain>
</file>

<file path=xl/sharedStrings.xml><?xml version="1.0" encoding="utf-8"?>
<sst xmlns="http://schemas.openxmlformats.org/spreadsheetml/2006/main" count="62" uniqueCount="25">
  <si>
    <t>order_id</t>
  </si>
  <si>
    <t>order_date</t>
  </si>
  <si>
    <t>city</t>
  </si>
  <si>
    <t>category</t>
  </si>
  <si>
    <t>revenue</t>
  </si>
  <si>
    <t>quantity</t>
  </si>
  <si>
    <t>month</t>
  </si>
  <si>
    <t>Bangalore</t>
  </si>
  <si>
    <t>Mumbai</t>
  </si>
  <si>
    <t>Delhi</t>
  </si>
  <si>
    <t>Chennai</t>
  </si>
  <si>
    <t>Office</t>
  </si>
  <si>
    <t>Furniture</t>
  </si>
  <si>
    <t>Technology</t>
  </si>
  <si>
    <t>2024-01</t>
  </si>
  <si>
    <t>2024-02</t>
  </si>
  <si>
    <t>Metric</t>
  </si>
  <si>
    <t>Value</t>
  </si>
  <si>
    <t>Total Revenue</t>
  </si>
  <si>
    <t>Total Orders</t>
  </si>
  <si>
    <t>Average Order Value</t>
  </si>
  <si>
    <t>Avg Order Value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</si>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</sst>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6" formatCode="[$-14009]dd/mm/yyyy;@"/>
    <numFmt numFmtId="171" formatCode="&quot;₹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Arial Unicode MS"/>
    </font>
    <font>
      <b/>
      <sz val="16"/>
      <color theme="1"/>
      <name val="Arial Unicode MS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1" fontId="2" fillId="2" borderId="0" xfId="0" applyNumberFormat="1" applyFont="1" applyFill="1" applyAlignment="1">
      <alignment vertical="center" wrapText="1"/>
    </xf>
    <xf numFmtId="171" fontId="3" fillId="2" borderId="0" xfId="0" applyNumberFormat="1" applyFont="1" applyFill="1" applyAlignment="1">
      <alignment vertical="center" wrapText="1"/>
    </xf>
    <xf numFmtId="0" fontId="0" fillId="2" borderId="0" xfId="0" applyFill="1"/>
    <xf numFmtId="171" fontId="2" fillId="0" borderId="0" xfId="0" applyNumberFormat="1" applyFont="1"/>
    <xf numFmtId="171" fontId="4" fillId="2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/>
    </xf>
    <xf numFmtId="171" fontId="5" fillId="3" borderId="0" xfId="0" applyNumberFormat="1" applyFont="1" applyFill="1" applyAlignment="1">
      <alignment horizontal="center" vertical="center" wrapText="1"/>
    </xf>
    <xf numFmtId="171" fontId="2" fillId="3" borderId="0" xfId="0" applyNumberFormat="1" applyFont="1" applyFill="1" applyAlignment="1">
      <alignment horizontal="center" vertical="center" wrapText="1"/>
    </xf>
    <xf numFmtId="171" fontId="5" fillId="3" borderId="0" xfId="0" applyNumberFormat="1" applyFont="1" applyFill="1" applyAlignment="1">
      <alignment vertical="center"/>
    </xf>
    <xf numFmtId="171" fontId="5" fillId="3" borderId="0" xfId="0" applyNumberFormat="1" applyFont="1" applyFill="1" applyAlignment="1">
      <alignment horizontal="center" vertical="center"/>
    </xf>
    <xf numFmtId="171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[Business_Report.xlsx]Sheet3!PivotTable2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47000</c:v>
                </c:pt>
                <c:pt idx="1">
                  <c:v>61000</c:v>
                </c:pt>
                <c:pt idx="2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B-4E20-BF5E-E2C3E5AC8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6577072"/>
        <c:axId val="1116575152"/>
      </c:barChart>
      <c:catAx>
        <c:axId val="111657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152"/>
        <c:crosses val="autoZero"/>
        <c:auto val="1"/>
        <c:lblAlgn val="ctr"/>
        <c:lblOffset val="100"/>
        <c:noMultiLvlLbl val="0"/>
      </c:catAx>
      <c:valAx>
        <c:axId val="111657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[Business_Report.xlsx]Sheet2!PivotTable1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2024-01</c:v>
                </c:pt>
                <c:pt idx="1">
                  <c:v>2024-02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117000</c:v>
                </c:pt>
                <c:pt idx="1">
                  <c:v>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E-4647-91F3-14EEFD861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746864"/>
        <c:axId val="1553744464"/>
      </c:barChart>
      <c:catAx>
        <c:axId val="155374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44464"/>
        <c:crosses val="autoZero"/>
        <c:auto val="1"/>
        <c:lblAlgn val="ctr"/>
        <c:lblOffset val="100"/>
        <c:noMultiLvlLbl val="0"/>
      </c:catAx>
      <c:valAx>
        <c:axId val="155374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4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[Business_Report.xlsx]Sheet3!PivotTable2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53993943365744"/>
          <c:y val="0.11998546206892778"/>
          <c:w val="0.68641829190281944"/>
          <c:h val="0.759547775990093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47000</c:v>
                </c:pt>
                <c:pt idx="1">
                  <c:v>61000</c:v>
                </c:pt>
                <c:pt idx="2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1-4C58-BF4B-7BC716598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6577072"/>
        <c:axId val="1116575152"/>
      </c:barChart>
      <c:catAx>
        <c:axId val="11165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152"/>
        <c:crosses val="autoZero"/>
        <c:auto val="1"/>
        <c:lblAlgn val="ctr"/>
        <c:lblOffset val="100"/>
        <c:noMultiLvlLbl val="0"/>
      </c:catAx>
      <c:valAx>
        <c:axId val="111657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6</xdr:col>
      <xdr:colOff>281946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72FD1-116D-7014-8590-A39CC9B84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221118</xdr:colOff>
      <xdr:row>15</xdr:row>
      <xdr:rowOff>109363</xdr:rowOff>
    </xdr:from>
    <xdr:to>
      <xdr:col>8</xdr:col>
      <xdr:colOff>147484</xdr:colOff>
      <xdr:row>63</xdr:row>
      <xdr:rowOff>24580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D7D17-8CBB-4FF5-AF14-AA1F0E39C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169654</xdr:colOff>
      <xdr:row>15</xdr:row>
      <xdr:rowOff>74704</xdr:rowOff>
    </xdr:from>
    <xdr:to>
      <xdr:col>24</xdr:col>
      <xdr:colOff>368710</xdr:colOff>
      <xdr:row>63</xdr:row>
      <xdr:rowOff>49162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0DC13B-4506-483E-9502-C77F1A5F3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313765</xdr:colOff>
      <xdr:row>3</xdr:row>
      <xdr:rowOff>253998</xdr:rowOff>
    </xdr:from>
    <xdr:to>
      <xdr:col>3</xdr:col>
      <xdr:colOff>119529</xdr:colOff>
      <xdr:row>10</xdr:row>
      <xdr:rowOff>119530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CD3D50-7CC7-70FC-88DD-9831DD2A2DD3}"/>
            </a:ext>
          </a:extLst>
        </xdr:cNvPr>
        <xdr:cNvSpPr txBox="1"/>
      </xdr:nvSpPr>
      <xdr:spPr>
        <a:xfrm>
          <a:off x="313765" y="1150469"/>
          <a:ext cx="5020235" cy="12102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Key Insights:</a:t>
          </a:r>
        </a:p>
        <a:p>
          <a:r>
            <a:rPr lang="en-IN" sz="1600"/>
            <a:t>• Technology category contributes the highest revenue</a:t>
          </a:r>
        </a:p>
        <a:p>
          <a:r>
            <a:rPr lang="en-IN" sz="1600"/>
            <a:t>• Revenue shows an upward trend from Jan to Feb</a:t>
          </a:r>
        </a:p>
        <a:p>
          <a:r>
            <a:rPr lang="en-IN" sz="1600"/>
            <a:t>• Bangalore and Mumbai are major contributing cities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thi reddy" refreshedDate="46007.695573495374" createdVersion="8" refreshedVersion="8" minRefreshableVersion="3" recordCount="9" xr:uid="{A6A0ECB0-BCCF-4B2C-97B7-92D84A569C68}">
  <cacheSource type="worksheet">
    <worksheetSource ref="A1:G10" sheet="Clean_Data"/>
  </cacheSource>
  <cacheFields count="7">
    <cacheField name="order_id" numFmtId="0">
      <sharedItems containsSemiMixedTypes="0" containsString="0" containsNumber="1" containsInteger="1" minValue="1001" maxValue="1009"/>
    </cacheField>
    <cacheField name="order_date" numFmtId="164">
      <sharedItems containsSemiMixedTypes="0" containsNonDate="0" containsDate="1" containsString="0" minDate="2024-01-05T00:00:00" maxDate="2024-02-06T00:00:00"/>
    </cacheField>
    <cacheField name="city" numFmtId="0">
      <sharedItems/>
    </cacheField>
    <cacheField name="category" numFmtId="0">
      <sharedItems count="3">
        <s v="Office"/>
        <s v="Furniture"/>
        <s v="Technology"/>
      </sharedItems>
    </cacheField>
    <cacheField name="revenue" numFmtId="0">
      <sharedItems containsSemiMixedTypes="0" containsString="0" containsNumber="1" containsInteger="1" minValue="12000" maxValue="30000"/>
    </cacheField>
    <cacheField name="quantity" numFmtId="0">
      <sharedItems containsSemiMixedTypes="0" containsString="0" containsNumber="1" containsInteger="1" minValue="1" maxValue="5"/>
    </cacheField>
    <cacheField name="month" numFmtId="0">
      <sharedItems count="2">
        <s v="2024-01"/>
        <s v="2024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d v="2024-01-05T00:00:00"/>
    <s v="Bangalore"/>
    <x v="0"/>
    <n v="12000"/>
    <n v="3"/>
    <x v="0"/>
  </r>
  <r>
    <n v="1002"/>
    <d v="2024-01-06T00:00:00"/>
    <s v="Mumbai"/>
    <x v="0"/>
    <n v="15000"/>
    <n v="4"/>
    <x v="0"/>
  </r>
  <r>
    <n v="1003"/>
    <d v="2024-01-06T00:00:00"/>
    <s v="Delhi"/>
    <x v="1"/>
    <n v="22000"/>
    <n v="2"/>
    <x v="0"/>
  </r>
  <r>
    <n v="1004"/>
    <d v="2024-01-08T00:00:00"/>
    <s v="Bangalore"/>
    <x v="2"/>
    <n v="18000"/>
    <n v="1"/>
    <x v="0"/>
  </r>
  <r>
    <n v="1005"/>
    <d v="2024-01-10T00:00:00"/>
    <s v="Chennai"/>
    <x v="0"/>
    <n v="20000"/>
    <n v="5"/>
    <x v="0"/>
  </r>
  <r>
    <n v="1006"/>
    <d v="2024-01-12T00:00:00"/>
    <s v="Delhi"/>
    <x v="2"/>
    <n v="30000"/>
    <n v="2"/>
    <x v="0"/>
  </r>
  <r>
    <n v="1007"/>
    <d v="2024-02-01T00:00:00"/>
    <s v="Mumbai"/>
    <x v="1"/>
    <n v="25000"/>
    <n v="1"/>
    <x v="1"/>
  </r>
  <r>
    <n v="1008"/>
    <d v="2024-02-03T00:00:00"/>
    <s v="Bangalore"/>
    <x v="0"/>
    <n v="14000"/>
    <n v="3"/>
    <x v="1"/>
  </r>
  <r>
    <n v="1009"/>
    <d v="2024-02-05T00:00:00"/>
    <s v="Chennai"/>
    <x v="2"/>
    <n v="27000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C00C5-522F-4DFA-A6A5-7C11D024E36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7">
    <pivotField showAll="0"/>
    <pivotField numFmtId="164"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revenue" fld="4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38B89-C09F-4067-AC39-26B7CD3508D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7">
    <pivotField showAll="0"/>
    <pivotField numFmtId="164"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060F-1B8F-42CD-9F6F-2BE5AB68809F}">
  <dimension ref="A3:B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4" t="s">
        <v>22</v>
      </c>
      <c r="B3" t="s">
        <v>24</v>
      </c>
    </row>
    <row r="4" spans="1:2">
      <c r="A4" s="5" t="s">
        <v>14</v>
      </c>
      <c r="B4" s="6">
        <v>117000</v>
      </c>
    </row>
    <row r="5" spans="1:2">
      <c r="A5" s="5" t="s">
        <v>15</v>
      </c>
      <c r="B5" s="6">
        <v>66000</v>
      </c>
    </row>
    <row r="6" spans="1:2">
      <c r="A6" s="5" t="s">
        <v>23</v>
      </c>
      <c r="B6" s="6">
        <v>183000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E267-E722-4E8A-940B-FB54FAD8D7D0}">
  <dimension ref="A3:B7"/>
  <sheetViews>
    <sheetView workbookViewId="0">
      <selection activeCell="B24" sqref="B24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4" t="s">
        <v>22</v>
      </c>
      <c r="B3" t="s">
        <v>24</v>
      </c>
    </row>
    <row r="4" spans="1:2">
      <c r="A4" s="5" t="s">
        <v>12</v>
      </c>
      <c r="B4" s="6">
        <v>47000</v>
      </c>
    </row>
    <row r="5" spans="1:2">
      <c r="A5" s="5" t="s">
        <v>11</v>
      </c>
      <c r="B5" s="6">
        <v>61000</v>
      </c>
    </row>
    <row r="6" spans="1:2">
      <c r="A6" s="5" t="s">
        <v>13</v>
      </c>
      <c r="B6" s="6">
        <v>75000</v>
      </c>
    </row>
    <row r="7" spans="1:2">
      <c r="A7" s="5" t="s">
        <v>23</v>
      </c>
      <c r="B7" s="6">
        <v>183000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4.4"/>
  <cols>
    <col min="2" max="2" width="25.21875" customWidth="1"/>
  </cols>
  <sheetData>
    <row r="1" spans="1:7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s="2">
        <v>45296</v>
      </c>
      <c r="C2" t="s">
        <v>7</v>
      </c>
      <c r="D2" t="s">
        <v>11</v>
      </c>
      <c r="E2">
        <v>12000</v>
      </c>
      <c r="F2">
        <v>3</v>
      </c>
      <c r="G2" t="s">
        <v>14</v>
      </c>
    </row>
    <row r="3" spans="1:7">
      <c r="A3">
        <v>1002</v>
      </c>
      <c r="B3" s="2">
        <v>45297</v>
      </c>
      <c r="C3" t="s">
        <v>8</v>
      </c>
      <c r="D3" t="s">
        <v>11</v>
      </c>
      <c r="E3">
        <v>15000</v>
      </c>
      <c r="F3">
        <v>4</v>
      </c>
      <c r="G3" t="s">
        <v>14</v>
      </c>
    </row>
    <row r="4" spans="1:7">
      <c r="A4">
        <v>1003</v>
      </c>
      <c r="B4" s="2">
        <v>45297</v>
      </c>
      <c r="C4" t="s">
        <v>9</v>
      </c>
      <c r="D4" t="s">
        <v>12</v>
      </c>
      <c r="E4">
        <v>22000</v>
      </c>
      <c r="F4">
        <v>2</v>
      </c>
      <c r="G4" t="s">
        <v>14</v>
      </c>
    </row>
    <row r="5" spans="1:7">
      <c r="A5">
        <v>1004</v>
      </c>
      <c r="B5" s="2">
        <v>45299</v>
      </c>
      <c r="C5" t="s">
        <v>7</v>
      </c>
      <c r="D5" t="s">
        <v>13</v>
      </c>
      <c r="E5">
        <v>18000</v>
      </c>
      <c r="F5">
        <v>1</v>
      </c>
      <c r="G5" t="s">
        <v>14</v>
      </c>
    </row>
    <row r="6" spans="1:7">
      <c r="A6">
        <v>1005</v>
      </c>
      <c r="B6" s="2">
        <v>45301</v>
      </c>
      <c r="C6" t="s">
        <v>10</v>
      </c>
      <c r="D6" t="s">
        <v>11</v>
      </c>
      <c r="E6">
        <v>20000</v>
      </c>
      <c r="F6">
        <v>5</v>
      </c>
      <c r="G6" t="s">
        <v>14</v>
      </c>
    </row>
    <row r="7" spans="1:7">
      <c r="A7">
        <v>1006</v>
      </c>
      <c r="B7" s="2">
        <v>45303</v>
      </c>
      <c r="C7" t="s">
        <v>9</v>
      </c>
      <c r="D7" t="s">
        <v>13</v>
      </c>
      <c r="E7">
        <v>30000</v>
      </c>
      <c r="F7">
        <v>2</v>
      </c>
      <c r="G7" t="s">
        <v>14</v>
      </c>
    </row>
    <row r="8" spans="1:7">
      <c r="A8">
        <v>1007</v>
      </c>
      <c r="B8" s="2">
        <v>45323</v>
      </c>
      <c r="C8" t="s">
        <v>8</v>
      </c>
      <c r="D8" t="s">
        <v>12</v>
      </c>
      <c r="E8">
        <v>25000</v>
      </c>
      <c r="F8">
        <v>1</v>
      </c>
      <c r="G8" t="s">
        <v>15</v>
      </c>
    </row>
    <row r="9" spans="1:7">
      <c r="A9">
        <v>1008</v>
      </c>
      <c r="B9" s="2">
        <v>45325</v>
      </c>
      <c r="C9" t="s">
        <v>7</v>
      </c>
      <c r="D9" t="s">
        <v>11</v>
      </c>
      <c r="E9">
        <v>14000</v>
      </c>
      <c r="F9">
        <v>3</v>
      </c>
      <c r="G9" t="s">
        <v>15</v>
      </c>
    </row>
    <row r="10" spans="1:7">
      <c r="A10">
        <v>1009</v>
      </c>
      <c r="B10" s="2">
        <v>45327</v>
      </c>
      <c r="C10" t="s">
        <v>10</v>
      </c>
      <c r="D10" t="s">
        <v>13</v>
      </c>
      <c r="E10">
        <v>27000</v>
      </c>
      <c r="F10">
        <v>2</v>
      </c>
      <c r="G10" t="s">
        <v>15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B75B-F338-4B93-A994-F5D2B3DB8052}">
  <dimension ref="A1:F6"/>
  <sheetViews>
    <sheetView showGridLines="0" tabSelected="1" zoomScale="31" workbookViewId="0">
      <selection activeCell="D78" sqref="D78"/>
    </sheetView>
  </sheetViews>
  <sheetFormatPr defaultRowHeight="14.4"/>
  <cols>
    <col min="1" max="1" width="51.44140625" customWidth="1"/>
    <col min="2" max="2" width="25.109375" customWidth="1"/>
    <col min="3" max="3" width="39.6640625" style="19" customWidth="1"/>
    <col min="4" max="4" width="21.77734375" customWidth="1"/>
    <col min="5" max="5" width="49.77734375" customWidth="1"/>
  </cols>
  <sheetData>
    <row r="1" spans="1:6" ht="28.8">
      <c r="A1" s="13" t="s">
        <v>18</v>
      </c>
      <c r="B1" s="14"/>
      <c r="C1" s="16" t="s">
        <v>19</v>
      </c>
      <c r="D1" s="15"/>
      <c r="E1" s="16" t="s">
        <v>21</v>
      </c>
      <c r="F1" s="12"/>
    </row>
    <row r="2" spans="1:6" ht="21">
      <c r="A2" s="7">
        <f>SUM(Clean_Data!E:E)</f>
        <v>183000</v>
      </c>
      <c r="B2" s="11"/>
      <c r="C2" s="17">
        <f>COUNTA(Clean_Data!A:A)-1</f>
        <v>9</v>
      </c>
      <c r="D2" s="10"/>
      <c r="E2" s="10">
        <f>AVERAGE(Clean_Data!E:E)</f>
        <v>20333.333333333332</v>
      </c>
    </row>
    <row r="3" spans="1:6" ht="21">
      <c r="A3" s="7"/>
      <c r="B3" s="8"/>
      <c r="C3" s="18"/>
    </row>
    <row r="4" spans="1:6" ht="21">
      <c r="A4" s="7"/>
      <c r="B4" s="8"/>
      <c r="C4" s="18"/>
    </row>
    <row r="5" spans="1:6">
      <c r="A5" s="9"/>
      <c r="B5" s="9"/>
      <c r="C5" s="18"/>
    </row>
    <row r="6" spans="1:6">
      <c r="A6" s="9"/>
      <c r="B6" s="9"/>
      <c r="C6" s="1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183000</v>
      </c>
    </row>
    <row r="3" spans="1:2">
      <c r="A3" t="s">
        <v>19</v>
      </c>
      <c r="B3">
        <v>9</v>
      </c>
    </row>
    <row r="4" spans="1:2">
      <c r="A4" t="s">
        <v>20</v>
      </c>
      <c r="B4">
        <v>20333.333333333328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/>
  <sheetData>
    <row r="1" spans="1:2">
      <c r="A1" s="1" t="s">
        <v>6</v>
      </c>
      <c r="B1" s="1" t="s">
        <v>4</v>
      </c>
    </row>
    <row r="2" spans="1:2">
      <c r="A2" t="s">
        <v>14</v>
      </c>
      <c r="B2">
        <v>117000</v>
      </c>
    </row>
    <row r="3" spans="1:2">
      <c r="A3" t="s">
        <v>15</v>
      </c>
      <c r="B3">
        <v>66000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/>
  <sheetData>
    <row r="1" spans="1:2">
      <c r="A1" s="1" t="s">
        <v>3</v>
      </c>
      <c r="B1" s="1" t="s">
        <v>4</v>
      </c>
    </row>
    <row r="2" spans="1:2">
      <c r="A2" t="s">
        <v>12</v>
      </c>
      <c r="B2">
        <v>47000</v>
      </c>
    </row>
    <row r="3" spans="1:2">
      <c r="A3" t="s">
        <v>11</v>
      </c>
      <c r="B3">
        <v>61000</v>
      </c>
    </row>
    <row r="4" spans="1:2">
      <c r="A4" t="s">
        <v>13</v>
      </c>
      <c r="B4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Clean_Data</vt:lpstr>
      <vt:lpstr>Dashboard</vt:lpstr>
      <vt:lpstr>KPI_Summary</vt:lpstr>
      <vt:lpstr>Monthly_Revenue</vt:lpstr>
      <vt:lpstr>Category_Revenue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sahithi reddy</cp:lastModifiedBy>
  <dcterms:created xsi:type="dcterms:W3CDTF">2025-12-16T10:01:53Z</dcterms:created>
  <dcterms:modified xsi:type="dcterms:W3CDTF">2025-12-16T12:28:41Z</dcterms:modified>
</cp:coreProperties>
</file>